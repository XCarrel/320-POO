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w52lvf\320-POO\personnel\P_OO\"/>
    </mc:Choice>
  </mc:AlternateContent>
  <xr:revisionPtr revIDLastSave="0" documentId="13_ncr:1_{E6FA340A-AF50-41CC-8F30-82AF6A6E48B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/>
  <c r="B13" i="11" l="1"/>
</calcChain>
</file>

<file path=xl/sharedStrings.xml><?xml version="1.0" encoding="utf-8"?>
<sst xmlns="http://schemas.openxmlformats.org/spreadsheetml/2006/main" count="196" uniqueCount="48">
  <si>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</si>
  <si>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</si>
  <si>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</si>
  <si>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</si>
  <si>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</si>
  <si>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</si>
  <si>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</si>
  <si>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</si>
  <si>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</si>
  <si>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</si>
  <si>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</si>
  <si>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</si>
  <si>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</si>
  <si>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</si>
  <si>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</si>
  <si>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</si>
  <si>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</si>
  <si>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</si>
  <si>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</si>
  <si>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</si>
  <si>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</si>
  <si>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</si>
  <si>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</si>
  <si>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</si>
  <si>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Senna Cruz</t>
  </si>
  <si>
    <t>CID2A</t>
  </si>
  <si>
    <t>Vennes, B13</t>
  </si>
  <si>
    <t>Introduction</t>
  </si>
  <si>
    <t>Planification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</si>
  <si>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</si>
  <si>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</si>
  <si>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</si>
  <si>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</si>
  <si>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</si>
  <si>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</si>
  <si>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</si>
  <si>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</si>
  <si>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</si>
  <si>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</si>
  <si>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Introduction du projet par le mandant.</t>
  </si>
  <si>
    <t>Mise en place de IceScrum, de GitHub</t>
  </si>
  <si>
    <t>Visuel</t>
  </si>
  <si>
    <t>Conceptualisation du graphisme du jeu</t>
  </si>
  <si>
    <t>Système de déplacement</t>
  </si>
  <si>
    <t>icescrum</t>
  </si>
  <si>
    <t>Ennemis</t>
  </si>
  <si>
    <t>Système d'ataque</t>
  </si>
  <si>
    <t>Commentaires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</si>
</sst>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topLeftCell="A16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320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41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46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8CD-B534-4AEE-809A-796146E6F073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18" t="s">
        <v>29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P2" s="118" t="s">
        <v>30</v>
      </c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18" t="s">
        <v>31</v>
      </c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20"/>
      <c r="AN2" s="118" t="s">
        <v>32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20"/>
      <c r="AZ2" s="118" t="s">
        <v>33</v>
      </c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20"/>
      <c r="BL2" s="118" t="s">
        <v>34</v>
      </c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20"/>
      <c r="BX2" s="118" t="s">
        <v>35</v>
      </c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20"/>
      <c r="CJ2" s="118" t="s">
        <v>36</v>
      </c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20"/>
    </row>
    <row r="3" spans="1:99" ht="19.5" customHeight="1" x14ac:dyDescent="0.25">
      <c r="A3" s="90"/>
      <c r="B3" s="121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2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3" t="str">
        <f>Donnees!$C$21</f>
        <v>Introduction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4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5" t="str">
        <f>Donnees!$C$22</f>
        <v>Planification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x14ac:dyDescent="0.25">
      <c r="B8" s="124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25" t="s">
        <v>16</v>
      </c>
      <c r="C9" s="27">
        <f>SUM($C$3,$C$5,$C$7)</f>
        <v>0</v>
      </c>
      <c r="D9" s="103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5"/>
      <c r="P9" s="103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5"/>
      <c r="AB9" s="103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5"/>
      <c r="AN9" s="103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5"/>
      <c r="AZ9" s="103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5"/>
      <c r="BL9" s="103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5"/>
      <c r="BX9" s="103"/>
      <c r="BY9" s="104"/>
      <c r="BZ9" s="104"/>
      <c r="CA9" s="104"/>
      <c r="CB9" s="104"/>
      <c r="CC9" s="104"/>
      <c r="CD9" s="104"/>
      <c r="CE9" s="104"/>
      <c r="CF9" s="104"/>
      <c r="CG9" s="104"/>
      <c r="CH9" s="104"/>
      <c r="CI9" s="105"/>
      <c r="CJ9" s="103"/>
      <c r="CK9" s="104"/>
      <c r="CL9" s="104"/>
      <c r="CM9" s="104"/>
      <c r="CN9" s="104"/>
      <c r="CO9" s="104"/>
      <c r="CP9" s="104"/>
      <c r="CQ9" s="104"/>
      <c r="CR9" s="104"/>
      <c r="CS9" s="104"/>
      <c r="CT9" s="104"/>
      <c r="CU9" s="105"/>
    </row>
    <row r="10" spans="1:99" ht="19.5" customHeight="1" thickBot="1" x14ac:dyDescent="0.3">
      <c r="B10" s="26" t="s">
        <v>17</v>
      </c>
      <c r="C10" s="28">
        <f>SUM($C$4,$C$6,$C$8)</f>
        <v>0</v>
      </c>
      <c r="D10" s="106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8"/>
      <c r="P10" s="106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8"/>
      <c r="AB10" s="106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8"/>
      <c r="AN10" s="106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8"/>
      <c r="AZ10" s="106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8"/>
      <c r="BL10" s="106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8"/>
      <c r="BX10" s="106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8"/>
      <c r="CJ10" s="106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8"/>
    </row>
    <row r="14" spans="1:99" ht="19.5" customHeight="1" x14ac:dyDescent="0.25">
      <c r="C14" s="109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1">
    <mergeCell ref="AN2:AY2"/>
    <mergeCell ref="AZ2:BK2"/>
    <mergeCell ref="BL2:BW2"/>
    <mergeCell ref="BX2:CI2"/>
    <mergeCell ref="CJ2:CU2"/>
    <mergeCell ref="AB2:AM2"/>
    <mergeCell ref="B3:B4"/>
    <mergeCell ref="B5:B6"/>
    <mergeCell ref="B7:B8"/>
    <mergeCell ref="D2:O2"/>
    <mergeCell ref="P2:AA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 xr:uid="{2B4F3ACB-44B1-4F23-BD5D-C7A3185682E9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1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17CA8-6F1C-43CA-8923-BCE1F09FCD18}">
  <sheetPr codeName="Feuil5"/>
  <dimension ref="A1:I113"/>
  <sheetViews>
    <sheetView workbookViewId="0">
      <selection activeCell="A3" sqref="A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27</v>
      </c>
      <c r="B3" s="4">
        <v>3</v>
      </c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3</v>
      </c>
      <c r="C13" s="111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37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37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90B196A8-DD5C-4D08-9A39-7585CD945AAE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F9469A7-75D5-4CE0-87DD-5521AA763C5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3724FDF-392E-4393-B7B2-39904270C85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450C3FE2-8C7B-4E07-BD01-20B9C8BCC1B3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A7B60-FCA5-4A9A-8FCE-954248C5F52F}">
  <sheetPr codeName="Feuil9"/>
  <dimension ref="A1:I153"/>
  <sheetViews>
    <sheetView topLeftCell="A71" workbookViewId="0">
      <selection activeCell="C80" sqref="C8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27</v>
      </c>
      <c r="B3" s="4">
        <v>3</v>
      </c>
      <c r="C3" s="114" t="s">
        <v>39</v>
      </c>
      <c r="D3" s="9"/>
    </row>
    <row r="4" spans="1:4" s="53" customFormat="1" x14ac:dyDescent="0.25">
      <c r="A4" s="1" t="s">
        <v>28</v>
      </c>
      <c r="B4" s="2">
        <v>6</v>
      </c>
      <c r="C4" s="115" t="s">
        <v>40</v>
      </c>
      <c r="D4" s="10"/>
    </row>
    <row r="5" spans="1:4" s="53" customFormat="1" x14ac:dyDescent="0.25">
      <c r="A5" s="1" t="s">
        <v>41</v>
      </c>
      <c r="B5" s="2">
        <v>3</v>
      </c>
      <c r="C5" s="115" t="s">
        <v>42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37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5</v>
      </c>
      <c r="C22" s="9"/>
      <c r="D22" s="9"/>
    </row>
    <row r="23" spans="1:9" x14ac:dyDescent="0.25">
      <c r="A23" s="1" t="s">
        <v>41</v>
      </c>
      <c r="B23" s="2">
        <v>7</v>
      </c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37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1" t="s">
        <v>43</v>
      </c>
      <c r="B41" s="4">
        <v>8</v>
      </c>
      <c r="C41" s="9"/>
      <c r="D41" s="9"/>
    </row>
    <row r="42" spans="1:9" x14ac:dyDescent="0.25">
      <c r="B42" s="2"/>
      <c r="C42" s="10"/>
      <c r="D42" s="10"/>
    </row>
    <row r="43" spans="1:9" x14ac:dyDescent="0.25">
      <c r="A43" s="1" t="s">
        <v>41</v>
      </c>
      <c r="B43" s="2">
        <v>2</v>
      </c>
      <c r="C43" s="10"/>
      <c r="D43" s="10"/>
    </row>
    <row r="44" spans="1:9" x14ac:dyDescent="0.25">
      <c r="A44" s="1" t="s">
        <v>44</v>
      </c>
      <c r="B44" s="2">
        <v>2</v>
      </c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3" t="s">
        <v>37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1" t="s">
        <v>43</v>
      </c>
      <c r="B60" s="4">
        <v>5</v>
      </c>
      <c r="C60" s="9"/>
      <c r="D60" s="9"/>
    </row>
    <row r="61" spans="1:4" x14ac:dyDescent="0.25">
      <c r="B61" s="2"/>
      <c r="C61" s="10"/>
      <c r="D61" s="10"/>
    </row>
    <row r="62" spans="1:4" x14ac:dyDescent="0.25">
      <c r="A62" s="1" t="s">
        <v>41</v>
      </c>
      <c r="B62" s="2">
        <v>7</v>
      </c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3" t="s">
        <v>37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44</v>
      </c>
      <c r="B79" s="4">
        <v>1</v>
      </c>
      <c r="C79" s="9"/>
      <c r="D79" s="9"/>
    </row>
    <row r="80" spans="1:4" x14ac:dyDescent="0.25">
      <c r="A80" s="1" t="s">
        <v>41</v>
      </c>
      <c r="B80" s="2">
        <v>3</v>
      </c>
      <c r="C80" s="115" t="s">
        <v>45</v>
      </c>
      <c r="D80" s="10"/>
    </row>
    <row r="81" spans="1:4" ht="27" x14ac:dyDescent="0.25">
      <c r="A81" s="1" t="s">
        <v>43</v>
      </c>
      <c r="B81" s="2">
        <v>6</v>
      </c>
      <c r="C81" s="115" t="s">
        <v>45</v>
      </c>
      <c r="D81" s="10"/>
    </row>
    <row r="82" spans="1:4" x14ac:dyDescent="0.25">
      <c r="A82" s="1" t="s">
        <v>46</v>
      </c>
      <c r="B82" s="2">
        <v>2</v>
      </c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3" t="s">
        <v>37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13" t="s">
        <v>37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3" t="s">
        <v>37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37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F0441A9-7818-41FF-B511-4A3F1E97E6C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136:B150 B79:B93 B98:B112 B117:B131 B60:B74" xr:uid="{B56EDF80-5C37-41FA-973C-CC63C8C2DA5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FB64B71-9EEC-4C59-81A6-5369B641ECF5}">
      <formula1>0</formula1>
      <formula2>NbPerWeek * NbQuartPer</formula2>
    </dataValidation>
    <dataValidation type="list" allowBlank="1" showInputMessage="1" showErrorMessage="1" sqref="A3:A17 A22:A36 A43:A55 A79:A93 A98:A112 A117:A131 A136:A150 A41 A62:A74 A60" xr:uid="{6B73F943-8BB5-4C93-A903-DA6FA904A96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Senna Cruz</dc:creator>
  <cp:lastModifiedBy>Senna Cruz</cp:lastModifiedBy>
  <cp:lastPrinted>2013-08-29T11:33:15Z</cp:lastPrinted>
  <dcterms:created xsi:type="dcterms:W3CDTF">1996-10-21T11:03:58Z</dcterms:created>
  <dcterms:modified xsi:type="dcterms:W3CDTF">2024-10-02T13:16:44Z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